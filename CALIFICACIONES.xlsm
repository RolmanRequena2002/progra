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progra\"/>
    </mc:Choice>
  </mc:AlternateContent>
  <bookViews>
    <workbookView xWindow="0" yWindow="0" windowWidth="19200" windowHeight="11505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D11" i="1" l="1"/>
  <c r="F11" i="1"/>
  <c r="G23" i="1"/>
  <c r="F23" i="1"/>
  <c r="E23" i="1"/>
  <c r="G22" i="1"/>
  <c r="F22" i="1"/>
  <c r="E22" i="1"/>
  <c r="G21" i="1"/>
  <c r="F21" i="1"/>
  <c r="E21" i="1"/>
  <c r="G20" i="1"/>
  <c r="F20" i="1"/>
  <c r="E20" i="1"/>
  <c r="G19" i="1"/>
  <c r="F19" i="1"/>
  <c r="E19" i="1"/>
  <c r="G18" i="1"/>
  <c r="F18" i="1"/>
  <c r="E18" i="1"/>
  <c r="G17" i="1"/>
  <c r="F17" i="1"/>
  <c r="E17" i="1"/>
  <c r="G16" i="1"/>
  <c r="F16" i="1"/>
  <c r="E16" i="1"/>
  <c r="G15" i="1"/>
  <c r="F15" i="1"/>
  <c r="E15" i="1"/>
  <c r="G14" i="1"/>
  <c r="F14" i="1"/>
  <c r="G13" i="1"/>
  <c r="F13" i="1"/>
  <c r="E13" i="1"/>
  <c r="G12" i="1"/>
  <c r="F12" i="1"/>
  <c r="E12" i="1"/>
  <c r="G11" i="1"/>
  <c r="E11" i="1"/>
  <c r="G10" i="1"/>
  <c r="F10" i="1"/>
  <c r="E10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H11" i="1" l="1"/>
  <c r="H23" i="1"/>
  <c r="H21" i="1"/>
  <c r="H19" i="1"/>
  <c r="H17" i="1"/>
  <c r="H15" i="1"/>
  <c r="H13" i="1"/>
  <c r="H22" i="1"/>
  <c r="H20" i="1"/>
  <c r="H18" i="1"/>
  <c r="H16" i="1"/>
  <c r="H14" i="1"/>
  <c r="H12" i="1"/>
  <c r="H10" i="1"/>
</calcChain>
</file>

<file path=xl/sharedStrings.xml><?xml version="1.0" encoding="utf-8"?>
<sst xmlns="http://schemas.openxmlformats.org/spreadsheetml/2006/main" count="20" uniqueCount="20">
  <si>
    <t>MATERIA:</t>
  </si>
  <si>
    <t>BLOQUE 1</t>
  </si>
  <si>
    <t>BLOQUE 2</t>
  </si>
  <si>
    <t>BLOQUE 3</t>
  </si>
  <si>
    <t>BLOQUE 4</t>
  </si>
  <si>
    <t xml:space="preserve">PROMEDIO </t>
  </si>
  <si>
    <t>MATEMATICA</t>
  </si>
  <si>
    <t>INGLES</t>
  </si>
  <si>
    <t xml:space="preserve">ESTETICA </t>
  </si>
  <si>
    <t xml:space="preserve">INSTALACIÓN </t>
  </si>
  <si>
    <t>COMPUTACIÓN</t>
  </si>
  <si>
    <t>PROGRAMACIÓN</t>
  </si>
  <si>
    <t>No.</t>
  </si>
  <si>
    <t>SEMINARIO</t>
  </si>
  <si>
    <t>MATE APLICADA</t>
  </si>
  <si>
    <t>FISICA FUNDAMENTAL</t>
  </si>
  <si>
    <t>QUIMICA</t>
  </si>
  <si>
    <t>BIOLOGIA</t>
  </si>
  <si>
    <t>LECTURA</t>
  </si>
  <si>
    <t>ETICA Y RELACIONES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</si>
</sst>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2" fillId="2" borderId="1" xfId="0" applyFont="1" applyFill="1" applyBorder="1"/>
    <xf numFmtId="1" fontId="2" fillId="2" borderId="1" xfId="0" applyNumberFormat="1" applyFont="1" applyFill="1" applyBorder="1"/>
    <xf numFmtId="0" fontId="0" fillId="4" borderId="1" xfId="0" applyFill="1" applyBorder="1"/>
  </cellXfs>
  <cellStyles count="1">
    <cellStyle name="Normal" xfId="0" builtinId="0"/>
  </cellStyles>
  <dxfs count="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INGLES</a:t>
            </a:r>
          </a:p>
        </c:rich>
      </c:tx>
      <c:layout>
        <c:manualLayout>
          <c:xMode val="edge"/>
          <c:yMode val="edge"/>
          <c:x val="0.36757217665140463"/>
          <c:y val="4.74777595980465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Hoja1!$D$11:$H$11</c:f>
              <c:numCache>
                <c:formatCode>General</c:formatCode>
                <c:ptCount val="5"/>
                <c:pt idx="0">
                  <c:v>42</c:v>
                </c:pt>
                <c:pt idx="1">
                  <c:v>28</c:v>
                </c:pt>
                <c:pt idx="2">
                  <c:v>59</c:v>
                </c:pt>
                <c:pt idx="3">
                  <c:v>47</c:v>
                </c:pt>
                <c:pt idx="4" formatCode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4-424B-B99E-3E12A2EB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956432"/>
        <c:axId val="367133608"/>
      </c:barChart>
      <c:catAx>
        <c:axId val="451956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67133608"/>
        <c:crosses val="autoZero"/>
        <c:auto val="1"/>
        <c:lblAlgn val="ctr"/>
        <c:lblOffset val="100"/>
        <c:noMultiLvlLbl val="0"/>
      </c:catAx>
      <c:valAx>
        <c:axId val="36713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95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MATEMATICA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Hoja1!$D$10:$H$10</c:f>
              <c:numCache>
                <c:formatCode>General</c:formatCode>
                <c:ptCount val="5"/>
                <c:pt idx="0">
                  <c:v>75</c:v>
                </c:pt>
                <c:pt idx="1">
                  <c:v>73</c:v>
                </c:pt>
                <c:pt idx="2">
                  <c:v>72</c:v>
                </c:pt>
                <c:pt idx="3">
                  <c:v>81</c:v>
                </c:pt>
                <c:pt idx="4" formatCode="0">
                  <c:v>75.25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8-48B4-991E-CD2D1BCDB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938952"/>
        <c:axId val="371938296"/>
      </c:barChart>
      <c:catAx>
        <c:axId val="371938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938296"/>
        <c:crosses val="autoZero"/>
        <c:auto val="1"/>
        <c:lblAlgn val="ctr"/>
        <c:lblOffset val="100"/>
        <c:noMultiLvlLbl val="0"/>
      </c:catAx>
      <c:valAx>
        <c:axId val="37193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37193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ESTETICA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Hoja1!$D$12:$H$12</c:f>
              <c:numCache>
                <c:formatCode>General</c:formatCode>
                <c:ptCount val="5"/>
                <c:pt idx="0">
                  <c:v>74</c:v>
                </c:pt>
                <c:pt idx="1">
                  <c:v>43</c:v>
                </c:pt>
                <c:pt idx="2">
                  <c:v>64</c:v>
                </c:pt>
                <c:pt idx="3">
                  <c:v>42</c:v>
                </c:pt>
                <c:pt idx="4" formatCode="0">
                  <c:v>55.75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E-43CD-A69A-C674CEBC7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329904"/>
        <c:axId val="451330232"/>
      </c:barChart>
      <c:catAx>
        <c:axId val="451329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330232"/>
        <c:crosses val="autoZero"/>
        <c:auto val="1"/>
        <c:lblAlgn val="ctr"/>
        <c:lblOffset val="100"/>
        <c:noMultiLvlLbl val="0"/>
      </c:catAx>
      <c:valAx>
        <c:axId val="45133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32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INSTALACIÓN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Hoja1!$D$13:$H$13</c:f>
              <c:numCache>
                <c:formatCode>General</c:formatCode>
                <c:ptCount val="5"/>
                <c:pt idx="0">
                  <c:v>44</c:v>
                </c:pt>
                <c:pt idx="1">
                  <c:v>38</c:v>
                </c:pt>
                <c:pt idx="2">
                  <c:v>26</c:v>
                </c:pt>
                <c:pt idx="3">
                  <c:v>84</c:v>
                </c:pt>
                <c:pt idx="4" formatCode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F-460A-8611-EDD33A32F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310248"/>
        <c:axId val="451310576"/>
      </c:barChart>
      <c:catAx>
        <c:axId val="451310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310576"/>
        <c:crosses val="autoZero"/>
        <c:auto val="1"/>
        <c:lblAlgn val="ctr"/>
        <c:lblOffset val="100"/>
        <c:noMultiLvlLbl val="0"/>
      </c:catAx>
      <c:valAx>
        <c:axId val="45131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31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COMPUTACIÓN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>
        <c:manualLayout>
          <c:layoutTarget val="inner"/>
          <c:xMode val="edge"/>
          <c:yMode val="edge"/>
          <c:x val="0.15010185185185185"/>
          <c:y val="0.27580166666666672"/>
          <c:w val="0.76758333333333328"/>
          <c:h val="0.5746327777777777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Hoja1!$D$14:$H$14</c:f>
              <c:numCache>
                <c:formatCode>General</c:formatCode>
                <c:ptCount val="5"/>
                <c:pt idx="0">
                  <c:v>84</c:v>
                </c:pt>
                <c:pt idx="1">
                  <c:v>79</c:v>
                </c:pt>
                <c:pt idx="2">
                  <c:v>48</c:v>
                </c:pt>
                <c:pt idx="3">
                  <c:v>13</c:v>
                </c:pt>
                <c:pt idx="4" formatCode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9D-43FD-B1E6-73AD6119A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305328"/>
        <c:axId val="451305656"/>
      </c:barChart>
      <c:catAx>
        <c:axId val="451305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305656"/>
        <c:crosses val="autoZero"/>
        <c:auto val="1"/>
        <c:lblAlgn val="ctr"/>
        <c:lblOffset val="100"/>
        <c:noMultiLvlLbl val="0"/>
      </c:catAx>
      <c:valAx>
        <c:axId val="45130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30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PROGRAMACIÓN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Hoja1!$D$15:$H$15</c:f>
              <c:numCache>
                <c:formatCode>General</c:formatCode>
                <c:ptCount val="5"/>
                <c:pt idx="0">
                  <c:v>65</c:v>
                </c:pt>
                <c:pt idx="1">
                  <c:v>25</c:v>
                </c:pt>
                <c:pt idx="2">
                  <c:v>75</c:v>
                </c:pt>
                <c:pt idx="3">
                  <c:v>95</c:v>
                </c:pt>
                <c:pt idx="4" formatCode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1-4F39-B485-5E87F5464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2531952"/>
        <c:axId val="452532280"/>
      </c:barChart>
      <c:catAx>
        <c:axId val="452531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2532280"/>
        <c:crosses val="autoZero"/>
        <c:auto val="1"/>
        <c:lblAlgn val="ctr"/>
        <c:lblOffset val="100"/>
        <c:noMultiLvlLbl val="0"/>
      </c:catAx>
      <c:valAx>
        <c:axId val="45253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253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SEMINARIO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Hoja1!$D$16:$H$16</c:f>
              <c:numCache>
                <c:formatCode>General</c:formatCode>
                <c:ptCount val="5"/>
                <c:pt idx="0">
                  <c:v>80</c:v>
                </c:pt>
                <c:pt idx="1">
                  <c:v>21</c:v>
                </c:pt>
                <c:pt idx="2">
                  <c:v>31</c:v>
                </c:pt>
                <c:pt idx="3">
                  <c:v>37</c:v>
                </c:pt>
                <c:pt idx="4" formatCode="0">
                  <c:v>42.25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D-48CD-9ED7-DA5A51961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2527360"/>
        <c:axId val="452529656"/>
      </c:barChart>
      <c:catAx>
        <c:axId val="452527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2529656"/>
        <c:crosses val="autoZero"/>
        <c:auto val="1"/>
        <c:lblAlgn val="ctr"/>
        <c:lblOffset val="100"/>
        <c:noMultiLvlLbl val="0"/>
      </c:catAx>
      <c:valAx>
        <c:axId val="45252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252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MATE APLICADA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Hoja1!$D$17:$H$17</c:f>
              <c:numCache>
                <c:formatCode>General</c:formatCode>
                <c:ptCount val="5"/>
                <c:pt idx="0">
                  <c:v>17</c:v>
                </c:pt>
                <c:pt idx="1">
                  <c:v>99</c:v>
                </c:pt>
                <c:pt idx="2">
                  <c:v>3</c:v>
                </c:pt>
                <c:pt idx="3">
                  <c:v>26</c:v>
                </c:pt>
                <c:pt idx="4" formatCode="0">
                  <c:v>36.25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0-4B67-958F-A49EA11CD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648672"/>
        <c:axId val="451647032"/>
      </c:barChart>
      <c:catAx>
        <c:axId val="451648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647032"/>
        <c:crosses val="autoZero"/>
        <c:auto val="1"/>
        <c:lblAlgn val="ctr"/>
        <c:lblOffset val="100"/>
        <c:noMultiLvlLbl val="0"/>
      </c:catAx>
      <c:valAx>
        <c:axId val="451647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5164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</xdr:colOff>
      <xdr:row>0</xdr:row>
      <xdr:rowOff>28575</xdr:rowOff>
    </xdr:from>
    <xdr:to>
      <xdr:col>8</xdr:col>
      <xdr:colOff>9525</xdr:colOff>
      <xdr:row>7</xdr:row>
      <xdr:rowOff>171450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28575"/>
          <a:ext cx="1476375" cy="1476375"/>
        </a:xfrm>
        <a:prstGeom prst="rect">
          <a:avLst/>
        </a:prstGeom>
      </xdr:spPr>
    </xdr:pic>
    <xdr:clientData/>
  </xdr:twoCellAnchor>
  <xdr:oneCellAnchor>
    <xdr:from>
      <xdr:col>1</xdr:col>
      <xdr:colOff>9525</xdr:colOff>
      <xdr:row>0</xdr:row>
      <xdr:rowOff>59823</xdr:rowOff>
    </xdr:from>
    <xdr:ext cx="4076700" cy="1469890"/>
    <xdr:sp macro="" textlink="">
      <xdr:nvSpPr>
        <xdr:cNvPr id="3" name="Rectángulo 2"/>
        <xdr:cNvSpPr/>
      </xdr:nvSpPr>
      <xdr:spPr>
        <a:xfrm>
          <a:off x="771525" y="59823"/>
          <a:ext cx="4076700" cy="14698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4400" b="1" cap="none" spc="0">
              <a:ln w="9525">
                <a:solidFill>
                  <a:sysClr val="windowText" lastClr="000000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TARJETA</a:t>
          </a:r>
          <a:r>
            <a:rPr lang="es-ES" sz="4400" b="1" cap="none" spc="0" baseline="0">
              <a:ln w="9525">
                <a:solidFill>
                  <a:sysClr val="windowText" lastClr="000000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DE CALIFICACIONES</a:t>
          </a:r>
          <a:endParaRPr lang="es-ES" sz="4400" b="1" cap="none" spc="0">
            <a:ln w="9525">
              <a:solidFill>
                <a:sysClr val="windowText" lastClr="000000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twoCellAnchor>
    <xdr:from>
      <xdr:col>2</xdr:col>
      <xdr:colOff>1234167</xdr:colOff>
      <xdr:row>24</xdr:row>
      <xdr:rowOff>44902</xdr:rowOff>
    </xdr:from>
    <xdr:to>
      <xdr:col>5</xdr:col>
      <xdr:colOff>482239</xdr:colOff>
      <xdr:row>33</xdr:row>
      <xdr:rowOff>130402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112937</xdr:colOff>
      <xdr:row>24</xdr:row>
      <xdr:rowOff>29935</xdr:rowOff>
    </xdr:from>
    <xdr:to>
      <xdr:col>2</xdr:col>
      <xdr:colOff>1060540</xdr:colOff>
      <xdr:row>33</xdr:row>
      <xdr:rowOff>115435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697365</xdr:colOff>
      <xdr:row>24</xdr:row>
      <xdr:rowOff>50346</xdr:rowOff>
    </xdr:from>
    <xdr:to>
      <xdr:col>8</xdr:col>
      <xdr:colOff>504690</xdr:colOff>
      <xdr:row>33</xdr:row>
      <xdr:rowOff>135846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103414</xdr:colOff>
      <xdr:row>34</xdr:row>
      <xdr:rowOff>129948</xdr:rowOff>
    </xdr:from>
    <xdr:to>
      <xdr:col>2</xdr:col>
      <xdr:colOff>1051017</xdr:colOff>
      <xdr:row>44</xdr:row>
      <xdr:rowOff>24948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1257979</xdr:colOff>
      <xdr:row>34</xdr:row>
      <xdr:rowOff>116341</xdr:rowOff>
    </xdr:from>
    <xdr:to>
      <xdr:col>5</xdr:col>
      <xdr:colOff>506051</xdr:colOff>
      <xdr:row>44</xdr:row>
      <xdr:rowOff>11341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706890</xdr:colOff>
      <xdr:row>34</xdr:row>
      <xdr:rowOff>102733</xdr:rowOff>
    </xdr:from>
    <xdr:to>
      <xdr:col>8</xdr:col>
      <xdr:colOff>514215</xdr:colOff>
      <xdr:row>43</xdr:row>
      <xdr:rowOff>188233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108176</xdr:colOff>
      <xdr:row>44</xdr:row>
      <xdr:rowOff>187098</xdr:rowOff>
    </xdr:from>
    <xdr:to>
      <xdr:col>2</xdr:col>
      <xdr:colOff>1055779</xdr:colOff>
      <xdr:row>54</xdr:row>
      <xdr:rowOff>82098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1266825</xdr:colOff>
      <xdr:row>44</xdr:row>
      <xdr:rowOff>185737</xdr:rowOff>
    </xdr:from>
    <xdr:to>
      <xdr:col>5</xdr:col>
      <xdr:colOff>521700</xdr:colOff>
      <xdr:row>54</xdr:row>
      <xdr:rowOff>80737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9:H23"/>
  <sheetViews>
    <sheetView tabSelected="1" topLeftCell="A7" zoomScaleNormal="100" workbookViewId="0">
      <selection activeCell="E15" sqref="E15"/>
    </sheetView>
  </sheetViews>
  <sheetFormatPr baseColWidth="10" defaultRowHeight="15" x14ac:dyDescent="0.25"/>
  <cols>
    <col min="1" max="1" width="11.42578125" style="1"/>
    <col min="2" max="2" width="6.85546875" style="1" customWidth="1"/>
    <col min="3" max="3" width="20.7109375" style="1" bestFit="1" customWidth="1"/>
    <col min="4" max="7" width="11.42578125" style="1"/>
    <col min="8" max="8" width="12.42578125" style="1" bestFit="1" customWidth="1"/>
    <col min="9" max="16384" width="11.42578125" style="1"/>
  </cols>
  <sheetData>
    <row r="9" spans="2:8" ht="15.75" x14ac:dyDescent="0.25">
      <c r="B9" s="2" t="s">
        <v>12</v>
      </c>
      <c r="C9" s="2" t="s">
        <v>0</v>
      </c>
      <c r="D9" s="3" t="s">
        <v>1</v>
      </c>
      <c r="E9" s="3" t="s">
        <v>2</v>
      </c>
      <c r="F9" s="3" t="s">
        <v>3</v>
      </c>
      <c r="G9" s="3" t="s">
        <v>4</v>
      </c>
      <c r="H9" s="3" t="s">
        <v>5</v>
      </c>
    </row>
    <row r="10" spans="2:8" ht="15.75" x14ac:dyDescent="0.25">
      <c r="B10" s="6">
        <v>1</v>
      </c>
      <c r="C10" s="6" t="s">
        <v>6</v>
      </c>
      <c r="D10" s="4">
        <f ca="1">RANDBETWEEN(1,100)</f>
        <v>75</v>
      </c>
      <c r="E10" s="4">
        <f t="shared" ref="E10:G10" ca="1" si="0">RANDBETWEEN(1,100)</f>
        <v>73</v>
      </c>
      <c r="F10" s="4">
        <f t="shared" ca="1" si="0"/>
        <v>72</v>
      </c>
      <c r="G10" s="4">
        <f t="shared" ca="1" si="0"/>
        <v>81</v>
      </c>
      <c r="H10" s="5">
        <f t="shared" ref="H10:H23" ca="1" si="1">AVERAGE(D10:G10)</f>
        <v>75.25</v>
      </c>
    </row>
    <row r="11" spans="2:8" ht="15.75" x14ac:dyDescent="0.25">
      <c r="B11" s="6">
        <v>2</v>
      </c>
      <c r="C11" s="6" t="s">
        <v>7</v>
      </c>
      <c r="D11" s="4">
        <f ca="1">RANDBETWEEN(1,100)</f>
        <v>42</v>
      </c>
      <c r="E11" s="4">
        <f t="shared" ref="D11:G23" ca="1" si="2">RANDBETWEEN(1,100)</f>
        <v>28</v>
      </c>
      <c r="F11" s="4">
        <f ca="1">RANDBETWEEN(1,100)</f>
        <v>59</v>
      </c>
      <c r="G11" s="4">
        <f t="shared" ca="1" si="2"/>
        <v>47</v>
      </c>
      <c r="H11" s="5">
        <f t="shared" ca="1" si="1"/>
        <v>44</v>
      </c>
    </row>
    <row r="12" spans="2:8" ht="15.75" x14ac:dyDescent="0.25">
      <c r="B12" s="6">
        <v>3</v>
      </c>
      <c r="C12" s="6" t="s">
        <v>8</v>
      </c>
      <c r="D12" s="4">
        <f t="shared" ca="1" si="2"/>
        <v>74</v>
      </c>
      <c r="E12" s="4">
        <f t="shared" ca="1" si="2"/>
        <v>43</v>
      </c>
      <c r="F12" s="4">
        <f t="shared" ca="1" si="2"/>
        <v>64</v>
      </c>
      <c r="G12" s="4">
        <f t="shared" ca="1" si="2"/>
        <v>42</v>
      </c>
      <c r="H12" s="5">
        <f t="shared" ca="1" si="1"/>
        <v>55.75</v>
      </c>
    </row>
    <row r="13" spans="2:8" ht="15.75" x14ac:dyDescent="0.25">
      <c r="B13" s="6">
        <v>4</v>
      </c>
      <c r="C13" s="6" t="s">
        <v>9</v>
      </c>
      <c r="D13" s="4">
        <f t="shared" ca="1" si="2"/>
        <v>44</v>
      </c>
      <c r="E13" s="4">
        <f t="shared" ca="1" si="2"/>
        <v>38</v>
      </c>
      <c r="F13" s="4">
        <f t="shared" ca="1" si="2"/>
        <v>26</v>
      </c>
      <c r="G13" s="4">
        <f t="shared" ca="1" si="2"/>
        <v>84</v>
      </c>
      <c r="H13" s="5">
        <f t="shared" ca="1" si="1"/>
        <v>48</v>
      </c>
    </row>
    <row r="14" spans="2:8" ht="15.75" x14ac:dyDescent="0.25">
      <c r="B14" s="6">
        <v>5</v>
      </c>
      <c r="C14" s="6" t="s">
        <v>10</v>
      </c>
      <c r="D14" s="4">
        <f t="shared" ca="1" si="2"/>
        <v>84</v>
      </c>
      <c r="E14" s="4">
        <f ca="1">RANDBETWEEN(1,100)</f>
        <v>79</v>
      </c>
      <c r="F14" s="4">
        <f t="shared" ca="1" si="2"/>
        <v>48</v>
      </c>
      <c r="G14" s="4">
        <f t="shared" ca="1" si="2"/>
        <v>13</v>
      </c>
      <c r="H14" s="5">
        <f t="shared" ca="1" si="1"/>
        <v>56</v>
      </c>
    </row>
    <row r="15" spans="2:8" ht="15.75" x14ac:dyDescent="0.25">
      <c r="B15" s="6">
        <v>6</v>
      </c>
      <c r="C15" s="6" t="s">
        <v>11</v>
      </c>
      <c r="D15" s="4">
        <f t="shared" ca="1" si="2"/>
        <v>65</v>
      </c>
      <c r="E15" s="4">
        <f t="shared" ca="1" si="2"/>
        <v>25</v>
      </c>
      <c r="F15" s="4">
        <f t="shared" ca="1" si="2"/>
        <v>75</v>
      </c>
      <c r="G15" s="4">
        <f t="shared" ca="1" si="2"/>
        <v>95</v>
      </c>
      <c r="H15" s="5">
        <f t="shared" ca="1" si="1"/>
        <v>65</v>
      </c>
    </row>
    <row r="16" spans="2:8" ht="15.75" x14ac:dyDescent="0.25">
      <c r="B16" s="6">
        <v>7</v>
      </c>
      <c r="C16" s="6" t="s">
        <v>13</v>
      </c>
      <c r="D16" s="4">
        <f t="shared" ca="1" si="2"/>
        <v>80</v>
      </c>
      <c r="E16" s="4">
        <f t="shared" ca="1" si="2"/>
        <v>21</v>
      </c>
      <c r="F16" s="4">
        <f t="shared" ca="1" si="2"/>
        <v>31</v>
      </c>
      <c r="G16" s="4">
        <f t="shared" ca="1" si="2"/>
        <v>37</v>
      </c>
      <c r="H16" s="5">
        <f t="shared" ca="1" si="1"/>
        <v>42.25</v>
      </c>
    </row>
    <row r="17" spans="2:8" ht="15.75" x14ac:dyDescent="0.25">
      <c r="B17" s="6">
        <v>8</v>
      </c>
      <c r="C17" s="6" t="s">
        <v>14</v>
      </c>
      <c r="D17" s="4">
        <f t="shared" ca="1" si="2"/>
        <v>17</v>
      </c>
      <c r="E17" s="4">
        <f t="shared" ca="1" si="2"/>
        <v>99</v>
      </c>
      <c r="F17" s="4">
        <f t="shared" ca="1" si="2"/>
        <v>3</v>
      </c>
      <c r="G17" s="4">
        <f t="shared" ca="1" si="2"/>
        <v>26</v>
      </c>
      <c r="H17" s="5">
        <f t="shared" ca="1" si="1"/>
        <v>36.25</v>
      </c>
    </row>
    <row r="18" spans="2:8" ht="15.75" x14ac:dyDescent="0.25">
      <c r="B18" s="6">
        <v>9</v>
      </c>
      <c r="C18" s="6" t="s">
        <v>15</v>
      </c>
      <c r="D18" s="4">
        <f t="shared" ca="1" si="2"/>
        <v>10</v>
      </c>
      <c r="E18" s="4">
        <f t="shared" ca="1" si="2"/>
        <v>51</v>
      </c>
      <c r="F18" s="4">
        <f t="shared" ca="1" si="2"/>
        <v>17</v>
      </c>
      <c r="G18" s="4">
        <f t="shared" ca="1" si="2"/>
        <v>56</v>
      </c>
      <c r="H18" s="5">
        <f t="shared" ca="1" si="1"/>
        <v>33.5</v>
      </c>
    </row>
    <row r="19" spans="2:8" ht="15.75" x14ac:dyDescent="0.25">
      <c r="B19" s="6">
        <v>10</v>
      </c>
      <c r="C19" s="6" t="s">
        <v>16</v>
      </c>
      <c r="D19" s="4">
        <f t="shared" ca="1" si="2"/>
        <v>16</v>
      </c>
      <c r="E19" s="4">
        <f t="shared" ca="1" si="2"/>
        <v>39</v>
      </c>
      <c r="F19" s="4">
        <f t="shared" ca="1" si="2"/>
        <v>2</v>
      </c>
      <c r="G19" s="4">
        <f t="shared" ca="1" si="2"/>
        <v>42</v>
      </c>
      <c r="H19" s="5">
        <f t="shared" ca="1" si="1"/>
        <v>24.75</v>
      </c>
    </row>
    <row r="20" spans="2:8" ht="15.75" x14ac:dyDescent="0.25">
      <c r="B20" s="6">
        <v>11</v>
      </c>
      <c r="C20" s="6" t="s">
        <v>17</v>
      </c>
      <c r="D20" s="4">
        <f t="shared" ca="1" si="2"/>
        <v>45</v>
      </c>
      <c r="E20" s="4">
        <f t="shared" ca="1" si="2"/>
        <v>23</v>
      </c>
      <c r="F20" s="4">
        <f t="shared" ca="1" si="2"/>
        <v>1</v>
      </c>
      <c r="G20" s="4">
        <f t="shared" ca="1" si="2"/>
        <v>9</v>
      </c>
      <c r="H20" s="5">
        <f t="shared" ca="1" si="1"/>
        <v>19.5</v>
      </c>
    </row>
    <row r="21" spans="2:8" ht="15.75" x14ac:dyDescent="0.25">
      <c r="B21" s="6">
        <v>12</v>
      </c>
      <c r="C21" s="6" t="s">
        <v>18</v>
      </c>
      <c r="D21" s="4">
        <f t="shared" ca="1" si="2"/>
        <v>21</v>
      </c>
      <c r="E21" s="4">
        <f t="shared" ca="1" si="2"/>
        <v>29</v>
      </c>
      <c r="F21" s="4">
        <f t="shared" ca="1" si="2"/>
        <v>21</v>
      </c>
      <c r="G21" s="4">
        <f t="shared" ca="1" si="2"/>
        <v>45</v>
      </c>
      <c r="H21" s="5">
        <f t="shared" ca="1" si="1"/>
        <v>29</v>
      </c>
    </row>
    <row r="22" spans="2:8" ht="15.75" x14ac:dyDescent="0.25">
      <c r="B22" s="6">
        <v>13</v>
      </c>
      <c r="C22" s="6" t="s">
        <v>19</v>
      </c>
      <c r="D22" s="4">
        <f t="shared" ca="1" si="2"/>
        <v>90</v>
      </c>
      <c r="E22" s="4">
        <f t="shared" ca="1" si="2"/>
        <v>60</v>
      </c>
      <c r="F22" s="4">
        <f t="shared" ca="1" si="2"/>
        <v>13</v>
      </c>
      <c r="G22" s="4">
        <f t="shared" ca="1" si="2"/>
        <v>34</v>
      </c>
      <c r="H22" s="5">
        <f t="shared" ca="1" si="1"/>
        <v>49.25</v>
      </c>
    </row>
    <row r="23" spans="2:8" ht="15.75" x14ac:dyDescent="0.25">
      <c r="B23" s="6">
        <v>14</v>
      </c>
      <c r="C23" s="6"/>
      <c r="D23" s="4">
        <f t="shared" ca="1" si="2"/>
        <v>9</v>
      </c>
      <c r="E23" s="4">
        <f t="shared" ca="1" si="2"/>
        <v>88</v>
      </c>
      <c r="F23" s="4">
        <f t="shared" ca="1" si="2"/>
        <v>72</v>
      </c>
      <c r="G23" s="4">
        <f t="shared" ca="1" si="2"/>
        <v>23</v>
      </c>
      <c r="H23" s="5">
        <f t="shared" ca="1" si="1"/>
        <v>48</v>
      </c>
    </row>
  </sheetData>
  <conditionalFormatting sqref="D10:H23">
    <cfRule type="cellIs" dxfId="4" priority="5" operator="greaterThan">
      <formula>60</formula>
    </cfRule>
    <cfRule type="cellIs" dxfId="3" priority="4" operator="lessThan">
      <formula>59</formula>
    </cfRule>
    <cfRule type="cellIs" dxfId="2" priority="3" operator="lessThan">
      <formula>60</formula>
    </cfRule>
    <cfRule type="cellIs" dxfId="1" priority="2" operator="lessThan">
      <formula>60</formula>
    </cfRule>
    <cfRule type="cellIs" dxfId="0" priority="1" operator="equal">
      <formula>60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2019-05-15T17:51:44Z</dcterms:created>
  <dcterms:modified xsi:type="dcterms:W3CDTF">2019-05-15T18:34:16Z</dcterms:modified>
</cp:coreProperties>
</file>